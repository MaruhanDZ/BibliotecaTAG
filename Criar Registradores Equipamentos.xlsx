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Projetos\Valadares\"/>
    </mc:Choice>
  </mc:AlternateContent>
  <xr:revisionPtr revIDLastSave="0" documentId="13_ncr:1_{7762FA40-CAB3-47E3-8F23-26DF9299EDA8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INIC" sheetId="1" r:id="rId1"/>
    <sheet name="MSB+LS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D16" i="2"/>
  <c r="G16" i="2"/>
  <c r="J16" i="2" s="1"/>
  <c r="F2" i="1" l="1"/>
  <c r="G2" i="1"/>
  <c r="I2" i="1" s="1"/>
  <c r="F36" i="1"/>
  <c r="G36" i="1"/>
  <c r="I36" i="1" s="1"/>
  <c r="F34" i="1"/>
  <c r="G34" i="1"/>
  <c r="I34" i="1" s="1"/>
  <c r="F32" i="1"/>
  <c r="G32" i="1"/>
  <c r="I32" i="1" s="1"/>
  <c r="F39" i="1"/>
  <c r="G39" i="1" s="1"/>
  <c r="I39" i="1" s="1"/>
  <c r="F38" i="1"/>
  <c r="G38" i="1" s="1"/>
  <c r="I38" i="1" s="1"/>
  <c r="F37" i="1"/>
  <c r="G37" i="1" s="1"/>
  <c r="I37" i="1" s="1"/>
  <c r="F3" i="1"/>
  <c r="F4" i="1"/>
  <c r="F5" i="1"/>
  <c r="G5" i="1" s="1"/>
  <c r="I5" i="1" s="1"/>
  <c r="F6" i="1"/>
  <c r="G6" i="1" s="1"/>
  <c r="I6" i="1" s="1"/>
  <c r="F7" i="1"/>
  <c r="G7" i="1" s="1"/>
  <c r="I7" i="1" s="1"/>
  <c r="F8" i="1"/>
  <c r="F9" i="1"/>
  <c r="F10" i="1"/>
  <c r="F11" i="1"/>
  <c r="F12" i="1"/>
  <c r="G12" i="1" s="1"/>
  <c r="I12" i="1" s="1"/>
  <c r="F13" i="1"/>
  <c r="G13" i="1" s="1"/>
  <c r="I13" i="1" s="1"/>
  <c r="F14" i="1"/>
  <c r="G14" i="1" s="1"/>
  <c r="I14" i="1" s="1"/>
  <c r="F15" i="1"/>
  <c r="F16" i="1"/>
  <c r="G16" i="1" s="1"/>
  <c r="I16" i="1" s="1"/>
  <c r="F17" i="1"/>
  <c r="G17" i="1" s="1"/>
  <c r="I17" i="1" s="1"/>
  <c r="F18" i="1"/>
  <c r="G18" i="1" s="1"/>
  <c r="I18" i="1" s="1"/>
  <c r="F19" i="1"/>
  <c r="F20" i="1"/>
  <c r="G20" i="1" s="1"/>
  <c r="I20" i="1" s="1"/>
  <c r="D21" i="2"/>
  <c r="D22" i="2"/>
  <c r="D23" i="2"/>
  <c r="D24" i="2"/>
  <c r="D25" i="2"/>
  <c r="D26" i="2"/>
  <c r="D27" i="2"/>
  <c r="D28" i="2"/>
  <c r="D29" i="2"/>
  <c r="D30" i="2"/>
  <c r="D31" i="2"/>
  <c r="D10" i="2"/>
  <c r="D11" i="2"/>
  <c r="D12" i="2"/>
  <c r="D13" i="2"/>
  <c r="D14" i="2"/>
  <c r="D15" i="2"/>
  <c r="D17" i="2"/>
  <c r="D18" i="2"/>
  <c r="D19" i="2"/>
  <c r="D20" i="2"/>
  <c r="D3" i="2"/>
  <c r="D4" i="2"/>
  <c r="D5" i="2"/>
  <c r="D6" i="2"/>
  <c r="D7" i="2"/>
  <c r="D8" i="2"/>
  <c r="D9" i="2"/>
  <c r="D2" i="2"/>
  <c r="G20" i="2"/>
  <c r="J20" i="2" s="1"/>
  <c r="G14" i="2"/>
  <c r="J14" i="2" s="1"/>
  <c r="G13" i="2"/>
  <c r="J13" i="2" s="1"/>
  <c r="G11" i="2"/>
  <c r="J11" i="2" s="1"/>
  <c r="G10" i="2"/>
  <c r="J10" i="2" s="1"/>
  <c r="G7" i="2"/>
  <c r="J7" i="2" s="1"/>
  <c r="G4" i="2"/>
  <c r="J4" i="2" s="1"/>
  <c r="G31" i="2"/>
  <c r="J31" i="2" s="1"/>
  <c r="G30" i="2"/>
  <c r="J30" i="2" s="1"/>
  <c r="G29" i="2"/>
  <c r="J29" i="2" s="1"/>
  <c r="G28" i="2"/>
  <c r="J28" i="2" s="1"/>
  <c r="G27" i="2"/>
  <c r="J27" i="2" s="1"/>
  <c r="G26" i="2"/>
  <c r="J26" i="2" s="1"/>
  <c r="G25" i="2"/>
  <c r="J25" i="2" s="1"/>
  <c r="G24" i="2"/>
  <c r="J24" i="2" s="1"/>
  <c r="G23" i="2"/>
  <c r="J23" i="2" s="1"/>
  <c r="G22" i="2"/>
  <c r="J22" i="2" s="1"/>
  <c r="G21" i="2"/>
  <c r="J21" i="2" s="1"/>
  <c r="G19" i="2"/>
  <c r="J19" i="2" s="1"/>
  <c r="G18" i="2"/>
  <c r="J18" i="2" s="1"/>
  <c r="G17" i="2"/>
  <c r="J17" i="2" s="1"/>
  <c r="G15" i="2"/>
  <c r="J15" i="2" s="1"/>
  <c r="G12" i="2"/>
  <c r="J12" i="2" s="1"/>
  <c r="G9" i="2"/>
  <c r="J9" i="2" s="1"/>
  <c r="G8" i="2"/>
  <c r="J8" i="2" s="1"/>
  <c r="G6" i="2"/>
  <c r="J6" i="2" s="1"/>
  <c r="G5" i="2"/>
  <c r="J5" i="2" s="1"/>
  <c r="G3" i="2"/>
  <c r="J3" i="2" s="1"/>
  <c r="G2" i="2"/>
  <c r="G11" i="1"/>
  <c r="I11" i="1" s="1"/>
  <c r="G3" i="1"/>
  <c r="I3" i="1" s="1"/>
  <c r="G4" i="1"/>
  <c r="I4" i="1" s="1"/>
  <c r="G8" i="1"/>
  <c r="I8" i="1" s="1"/>
  <c r="G9" i="1"/>
  <c r="I9" i="1" s="1"/>
  <c r="G10" i="1"/>
  <c r="I10" i="1" s="1"/>
  <c r="G15" i="1"/>
  <c r="I15" i="1" s="1"/>
  <c r="G19" i="1"/>
  <c r="I19" i="1" s="1"/>
  <c r="F21" i="1"/>
  <c r="G21" i="1" s="1"/>
  <c r="I21" i="1" s="1"/>
  <c r="F22" i="1"/>
  <c r="G22" i="1" s="1"/>
  <c r="I22" i="1" s="1"/>
  <c r="F23" i="1"/>
  <c r="G23" i="1" s="1"/>
  <c r="I23" i="1" s="1"/>
  <c r="F24" i="1"/>
  <c r="G24" i="1" s="1"/>
  <c r="I24" i="1" s="1"/>
  <c r="F25" i="1"/>
  <c r="G25" i="1" s="1"/>
  <c r="I25" i="1" s="1"/>
  <c r="F26" i="1"/>
  <c r="G26" i="1" s="1"/>
  <c r="I26" i="1" s="1"/>
  <c r="F27" i="1"/>
  <c r="G27" i="1" s="1"/>
  <c r="I27" i="1" s="1"/>
  <c r="F28" i="1"/>
  <c r="G28" i="1" s="1"/>
  <c r="I28" i="1" s="1"/>
  <c r="F29" i="1"/>
  <c r="G29" i="1" s="1"/>
  <c r="I29" i="1" s="1"/>
  <c r="F30" i="1"/>
  <c r="G30" i="1" s="1"/>
  <c r="I30" i="1" s="1"/>
  <c r="F31" i="1"/>
  <c r="G31" i="1" s="1"/>
  <c r="I31" i="1" s="1"/>
  <c r="F33" i="1"/>
  <c r="G33" i="1" s="1"/>
  <c r="I33" i="1" s="1"/>
  <c r="F35" i="1"/>
  <c r="G35" i="1" s="1"/>
  <c r="I35" i="1" s="1"/>
  <c r="F40" i="1"/>
  <c r="G40" i="1" s="1"/>
  <c r="I40" i="1" s="1"/>
  <c r="J2" i="2" l="1"/>
</calcChain>
</file>

<file path=xl/sharedStrings.xml><?xml version="1.0" encoding="utf-8"?>
<sst xmlns="http://schemas.openxmlformats.org/spreadsheetml/2006/main" count="120" uniqueCount="81">
  <si>
    <t>// Tensão L1 e neutro (V)</t>
  </si>
  <si>
    <t>// Tensão L2 e neutro (V)</t>
  </si>
  <si>
    <t>// Tensão L3 e neutro (V)</t>
  </si>
  <si>
    <t>// Tensão L1 e L2 (V)</t>
  </si>
  <si>
    <t>// Tensão L2 e L3 (V)</t>
  </si>
  <si>
    <t>// Tensão L3 e L1 (V)</t>
  </si>
  <si>
    <t>// Corrente L1 (A)</t>
  </si>
  <si>
    <t>// Corrente L2 (A)</t>
  </si>
  <si>
    <t>// Corrente L3 (A)</t>
  </si>
  <si>
    <t>// Corrente neutro (A)</t>
  </si>
  <si>
    <t>// Potência aparente S1 (VA)</t>
  </si>
  <si>
    <t>// Potência aparente S2 (VA)</t>
  </si>
  <si>
    <t>// Potência aparente S3 (VA)</t>
  </si>
  <si>
    <t>// Potência ativa P1 (W)</t>
  </si>
  <si>
    <t>// Potência ativa P2 (W)</t>
  </si>
  <si>
    <t>// Potência ativa P3 (W)</t>
  </si>
  <si>
    <t>// Potência reativa Q1 (VAR)</t>
  </si>
  <si>
    <t>// Potência reativa Q2 (VAR)</t>
  </si>
  <si>
    <t>// Potência reativa Q3 (VAR)</t>
  </si>
  <si>
    <t>// Fator de potência L1 (%)</t>
  </si>
  <si>
    <t>// Fator de potência L2 (%)</t>
  </si>
  <si>
    <t>// Fator de potência L3 (%)</t>
  </si>
  <si>
    <t>// THD-R tensão L1 (%)</t>
  </si>
  <si>
    <t>// THD-R tensão L2 (%)</t>
  </si>
  <si>
    <t>// THD-R tensão L3 (%)</t>
  </si>
  <si>
    <t>// THD-R corrente L1 (%)</t>
  </si>
  <si>
    <t>// THD-R corrente L2 (%)</t>
  </si>
  <si>
    <t>// THD-R corrente L3 (%)</t>
  </si>
  <si>
    <t>// Frequência da rede</t>
  </si>
  <si>
    <t>// Soma da potência aparente (kVAh)</t>
  </si>
  <si>
    <t>// Potência aparente total (Va)</t>
  </si>
  <si>
    <t>// Potência ativa total (W)</t>
  </si>
  <si>
    <t>// Potência reativa total (var)</t>
  </si>
  <si>
    <t>// Fator de potência total (%)</t>
  </si>
  <si>
    <t>5B02</t>
  </si>
  <si>
    <t>5B04</t>
  </si>
  <si>
    <t>5B06</t>
  </si>
  <si>
    <t>5B08</t>
  </si>
  <si>
    <t>5B0A</t>
  </si>
  <si>
    <t>5B0C</t>
  </si>
  <si>
    <t>HEX</t>
  </si>
  <si>
    <t>DEC</t>
  </si>
  <si>
    <t>5B10</t>
  </si>
  <si>
    <t>5B12</t>
  </si>
  <si>
    <t>5B14</t>
  </si>
  <si>
    <t>5B16</t>
  </si>
  <si>
    <t>5B2C</t>
  </si>
  <si>
    <t>5B2E</t>
  </si>
  <si>
    <t>5B30</t>
  </si>
  <si>
    <t>5B1C</t>
  </si>
  <si>
    <t>5B1E</t>
  </si>
  <si>
    <t>5B20</t>
  </si>
  <si>
    <t>5B24</t>
  </si>
  <si>
    <t>5B26</t>
  </si>
  <si>
    <t>5B28</t>
  </si>
  <si>
    <t>5B41</t>
  </si>
  <si>
    <t>5B42</t>
  </si>
  <si>
    <t>5B43</t>
  </si>
  <si>
    <t>5D00</t>
  </si>
  <si>
    <t>5D80</t>
  </si>
  <si>
    <t>5E00</t>
  </si>
  <si>
    <t>6000</t>
  </si>
  <si>
    <t>6080</t>
  </si>
  <si>
    <t>6100</t>
  </si>
  <si>
    <t>5B32</t>
  </si>
  <si>
    <t>5B1A</t>
  </si>
  <si>
    <t>5B22</t>
  </si>
  <si>
    <t>5B2A</t>
  </si>
  <si>
    <t>5B40</t>
  </si>
  <si>
    <t>// Soma da potência ativa (kWh)</t>
  </si>
  <si>
    <t>500C</t>
  </si>
  <si>
    <t>5018</t>
  </si>
  <si>
    <t>// Soma da potência reativa (kVarh)</t>
  </si>
  <si>
    <t>QTD</t>
  </si>
  <si>
    <t>FUNÇÃO</t>
  </si>
  <si>
    <t>DESCRIÇÃO</t>
  </si>
  <si>
    <t>REGISTRADOR SIEMENS DEC</t>
  </si>
  <si>
    <t>REGISTRADOR SIEMENS HEX</t>
  </si>
  <si>
    <t>SEQ</t>
  </si>
  <si>
    <t>USO PROGRAMA</t>
  </si>
  <si>
    <t>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</si>
</sst>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theme="9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2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1" xfId="0" applyFill="1" applyBorder="1"/>
  </cellXfs>
  <cellStyles count="4">
    <cellStyle name="20% - Ênfase1 2" xfId="2" xr:uid="{F987E997-DADE-4951-AFB3-63939B2790AB}"/>
    <cellStyle name="20% - Ênfase3 2" xfId="3" xr:uid="{F6D322AA-97E1-48B1-B358-3A705EF4051C}"/>
    <cellStyle name="Normal" xfId="0" builtinId="0"/>
    <cellStyle name="Normal 2" xfId="1" xr:uid="{4B10128E-F269-43EA-929A-0ED2C3111DE8}"/>
  </cellStyles>
  <dxfs count="16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421A9-D69F-4111-B790-D157926CF4B6}" name="Tabela1" displayName="Tabela1" ref="A1:I40" totalsRowShown="0" headerRowDxfId="15">
  <autoFilter ref="A1:I40" xr:uid="{AEC421A9-D69F-4111-B790-D157926CF4B6}"/>
  <tableColumns count="9">
    <tableColumn id="1" xr3:uid="{310BDC0A-466D-4D43-97F9-284B5D1D46F7}" name="SEQ" dataDxfId="14"/>
    <tableColumn id="2" xr3:uid="{1323F480-2A20-4698-8D88-9CBF51E87DAF}" name="FUNÇÃO" dataDxfId="13"/>
    <tableColumn id="3" xr3:uid="{BF1B3F7F-3DC3-4114-998C-B83FC1D4042E}" name="DEC" dataDxfId="12"/>
    <tableColumn id="4" xr3:uid="{9AF40C92-ABC5-4E82-932F-88236F595FC1}" name="HEX" dataDxfId="11"/>
    <tableColumn id="5" xr3:uid="{9D1E50DF-7475-4048-AB43-1001043DBC5F}" name="QTD" dataDxfId="10"/>
    <tableColumn id="6" xr3:uid="{B3C78558-461E-4A1C-860E-92E221ADE781}" name="REGISTRADOR SIEMENS DEC" dataDxfId="9">
      <calculatedColumnFormula>(B2*100000)+C2</calculatedColumnFormula>
    </tableColumn>
    <tableColumn id="7" xr3:uid="{F3A69B1E-E09B-4B54-B23F-1C5F12DE3FD7}" name="REGISTRADOR SIEMENS HEX" dataDxfId="8">
      <calculatedColumnFormula>DEC2HEX(F2)</calculatedColumnFormula>
    </tableColumn>
    <tableColumn id="8" xr3:uid="{BA5D7BCD-5A06-46D9-96F1-31F70B895D97}" name="DESCRIÇÃO"/>
    <tableColumn id="9" xr3:uid="{5EC12E37-B823-4133-AFF6-86AE24C0BE04}" name="USO PROGRAMA">
      <calculatedColumnFormula>_xlfn.CONCAT("#DTU_RAW.ENDERECO_REG[",A2,"] := 16#",G2,"; ",H2)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2293F5-45B3-4F63-874D-872B46BFAC25}" name="Tabela13" displayName="Tabela13" ref="A1:J31" totalsRowShown="0" headerRowDxfId="7">
  <autoFilter ref="A1:J31" xr:uid="{AEC421A9-D69F-4111-B790-D157926CF4B6}"/>
  <tableColumns count="10">
    <tableColumn id="1" xr3:uid="{E074ADEE-4D4C-4D67-8AA4-A91DA2BE8585}" name="SEQ" dataDxfId="6"/>
    <tableColumn id="2" xr3:uid="{85B14E76-3361-41AD-AA8F-5E370680786C}" name="FUNÇÃO" dataDxfId="5"/>
    <tableColumn id="3" xr3:uid="{F3219C4A-424E-4C61-B100-54AAFD86B9F3}" name="DEC" dataDxfId="4"/>
    <tableColumn id="4" xr3:uid="{F4B96D7A-3114-4810-8319-0606ADE47EFF}" name="HEX" dataDxfId="3"/>
    <tableColumn id="5" xr3:uid="{BB749EB7-0A9D-42D4-BA9B-EC3D8ED23B85}" name="QTD" dataDxfId="2"/>
    <tableColumn id="6" xr3:uid="{7606755F-79EB-416B-A653-2539486BBD67}" name="REGISTRADOR SIEMENS DEC" dataDxfId="0">
      <calculatedColumnFormula>(B2*100000)+C2+1</calculatedColumnFormula>
    </tableColumn>
    <tableColumn id="7" xr3:uid="{10D111EC-42F8-4341-90A2-7A61880821E2}" name="REGISTRADOR SIEMENS HEX" dataDxfId="1">
      <calculatedColumnFormula>DEC2HEX(F2)</calculatedColumnFormula>
    </tableColumn>
    <tableColumn id="8" xr3:uid="{8A88095A-20C0-4721-A3F1-8C57C267D45A}" name="DESCRIÇÃO"/>
    <tableColumn id="11" xr3:uid="{509DB553-047D-42CD-A968-7671032F3A28}" name="SB"/>
    <tableColumn id="9" xr3:uid="{E081EA3A-C587-476E-BB49-C2160AE820F4}" name="USO PROGRAMA">
      <calculatedColumnFormula>_xlfn.CONCAT("#DTU_RAW.ENDERECO_REG[",A2,"] := 16#",G2,"; ",H2,Tabela13[[#This Row],[SB]])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workbookViewId="0">
      <selection activeCell="F2" sqref="F2"/>
    </sheetView>
  </sheetViews>
  <sheetFormatPr defaultRowHeight="15" x14ac:dyDescent="0.25"/>
  <cols>
    <col min="1" max="1" width="8.7109375" style="1" bestFit="1" customWidth="1"/>
    <col min="2" max="2" width="12.85546875" style="1" bestFit="1" customWidth="1"/>
    <col min="3" max="4" width="8.7109375" style="2" bestFit="1" customWidth="1"/>
    <col min="5" max="5" width="9" style="1" bestFit="1" customWidth="1"/>
    <col min="6" max="7" width="29.85546875" style="2" bestFit="1" customWidth="1"/>
    <col min="8" max="8" width="33.5703125" customWidth="1"/>
    <col min="9" max="9" width="73.28515625" bestFit="1" customWidth="1"/>
  </cols>
  <sheetData>
    <row r="1" spans="1:9" x14ac:dyDescent="0.25">
      <c r="A1" s="1" t="s">
        <v>78</v>
      </c>
      <c r="B1" s="1" t="s">
        <v>74</v>
      </c>
      <c r="C1" s="2" t="s">
        <v>41</v>
      </c>
      <c r="D1" s="2" t="s">
        <v>40</v>
      </c>
      <c r="E1" s="1" t="s">
        <v>73</v>
      </c>
      <c r="F1" s="2" t="s">
        <v>76</v>
      </c>
      <c r="G1" s="2" t="s">
        <v>77</v>
      </c>
      <c r="H1" s="1" t="s">
        <v>75</v>
      </c>
      <c r="I1" s="2" t="s">
        <v>79</v>
      </c>
    </row>
    <row r="2" spans="1:9" x14ac:dyDescent="0.25">
      <c r="A2" s="1">
        <v>0</v>
      </c>
      <c r="B2" s="1">
        <v>4</v>
      </c>
      <c r="C2" s="2">
        <v>23298</v>
      </c>
      <c r="D2" s="2" t="s">
        <v>34</v>
      </c>
      <c r="E2" s="1">
        <v>2</v>
      </c>
      <c r="F2" s="2">
        <f>(B2*100000)+C2+1</f>
        <v>423299</v>
      </c>
      <c r="G2" s="2" t="str">
        <f>DEC2HEX(F2)</f>
        <v>67583</v>
      </c>
      <c r="H2" t="s">
        <v>0</v>
      </c>
      <c r="I2" t="str">
        <f>_xlfn.CONCAT("#DTU_RAW.ENDERECO_REG[",A2,"] := 16#",G2,"; ",H2)</f>
        <v>#DTU_RAW.ENDERECO_REG[0] := 16#67583; // Tensão L1 e neutro (V)</v>
      </c>
    </row>
    <row r="3" spans="1:9" x14ac:dyDescent="0.25">
      <c r="A3" s="1">
        <v>1</v>
      </c>
      <c r="B3" s="1">
        <v>4</v>
      </c>
      <c r="C3" s="2">
        <v>23300</v>
      </c>
      <c r="D3" s="2" t="s">
        <v>35</v>
      </c>
      <c r="E3" s="1">
        <v>2</v>
      </c>
      <c r="F3" s="2">
        <f t="shared" ref="F3:F20" si="0">(B3*100000)+C3+1</f>
        <v>423301</v>
      </c>
      <c r="G3" s="2" t="str">
        <f t="shared" ref="G3:G40" si="1">DEC2HEX(F3)</f>
        <v>67585</v>
      </c>
      <c r="H3" t="s">
        <v>1</v>
      </c>
      <c r="I3" t="str">
        <f t="shared" ref="I3:I40" si="2">_xlfn.CONCAT("#DTU_RAW.ENDERECO_REG[",A3,"] := 16#",G3,"; ",H3)</f>
        <v>#DTU_RAW.ENDERECO_REG[1] := 16#67585; // Tensão L2 e neutro (V)</v>
      </c>
    </row>
    <row r="4" spans="1:9" x14ac:dyDescent="0.25">
      <c r="A4" s="1">
        <v>2</v>
      </c>
      <c r="B4" s="1">
        <v>4</v>
      </c>
      <c r="C4" s="2">
        <v>23302</v>
      </c>
      <c r="D4" s="2" t="s">
        <v>36</v>
      </c>
      <c r="E4" s="1">
        <v>2</v>
      </c>
      <c r="F4" s="2">
        <f t="shared" si="0"/>
        <v>423303</v>
      </c>
      <c r="G4" s="2" t="str">
        <f t="shared" si="1"/>
        <v>67587</v>
      </c>
      <c r="H4" t="s">
        <v>2</v>
      </c>
      <c r="I4" t="str">
        <f t="shared" si="2"/>
        <v>#DTU_RAW.ENDERECO_REG[2] := 16#67587; // Tensão L3 e neutro (V)</v>
      </c>
    </row>
    <row r="5" spans="1:9" x14ac:dyDescent="0.25">
      <c r="A5" s="1">
        <v>3</v>
      </c>
      <c r="B5" s="1">
        <v>4</v>
      </c>
      <c r="C5" s="1">
        <v>23304</v>
      </c>
      <c r="D5" s="1" t="s">
        <v>37</v>
      </c>
      <c r="E5" s="1">
        <v>2</v>
      </c>
      <c r="F5" s="2">
        <f t="shared" si="0"/>
        <v>423305</v>
      </c>
      <c r="G5" s="2" t="str">
        <f t="shared" si="1"/>
        <v>67589</v>
      </c>
      <c r="H5" t="s">
        <v>3</v>
      </c>
      <c r="I5" t="str">
        <f t="shared" si="2"/>
        <v>#DTU_RAW.ENDERECO_REG[3] := 16#67589; // Tensão L1 e L2 (V)</v>
      </c>
    </row>
    <row r="6" spans="1:9" x14ac:dyDescent="0.25">
      <c r="A6" s="1">
        <v>4</v>
      </c>
      <c r="B6" s="1">
        <v>4</v>
      </c>
      <c r="C6" s="1">
        <v>23306</v>
      </c>
      <c r="D6" s="1" t="s">
        <v>38</v>
      </c>
      <c r="E6" s="1">
        <v>2</v>
      </c>
      <c r="F6" s="2">
        <f t="shared" si="0"/>
        <v>423307</v>
      </c>
      <c r="G6" s="2" t="str">
        <f t="shared" si="1"/>
        <v>6758B</v>
      </c>
      <c r="H6" t="s">
        <v>4</v>
      </c>
      <c r="I6" t="str">
        <f t="shared" si="2"/>
        <v>#DTU_RAW.ENDERECO_REG[4] := 16#6758B; // Tensão L2 e L3 (V)</v>
      </c>
    </row>
    <row r="7" spans="1:9" x14ac:dyDescent="0.25">
      <c r="A7" s="1">
        <v>5</v>
      </c>
      <c r="B7" s="1">
        <v>4</v>
      </c>
      <c r="C7" s="1">
        <v>23308</v>
      </c>
      <c r="D7" s="1" t="s">
        <v>39</v>
      </c>
      <c r="E7" s="1">
        <v>2</v>
      </c>
      <c r="F7" s="2">
        <f t="shared" si="0"/>
        <v>423309</v>
      </c>
      <c r="G7" s="2" t="str">
        <f t="shared" si="1"/>
        <v>6758D</v>
      </c>
      <c r="H7" t="s">
        <v>5</v>
      </c>
      <c r="I7" t="str">
        <f t="shared" si="2"/>
        <v>#DTU_RAW.ENDERECO_REG[5] := 16#6758D; // Tensão L3 e L1 (V)</v>
      </c>
    </row>
    <row r="8" spans="1:9" x14ac:dyDescent="0.25">
      <c r="A8" s="1">
        <v>6</v>
      </c>
      <c r="B8" s="1">
        <v>4</v>
      </c>
      <c r="C8" s="1">
        <v>23312</v>
      </c>
      <c r="D8" s="1" t="s">
        <v>42</v>
      </c>
      <c r="E8" s="1">
        <v>2</v>
      </c>
      <c r="F8" s="2">
        <f t="shared" si="0"/>
        <v>423313</v>
      </c>
      <c r="G8" s="2" t="str">
        <f t="shared" si="1"/>
        <v>67591</v>
      </c>
      <c r="H8" t="s">
        <v>6</v>
      </c>
      <c r="I8" t="str">
        <f t="shared" si="2"/>
        <v>#DTU_RAW.ENDERECO_REG[6] := 16#67591; // Corrente L1 (A)</v>
      </c>
    </row>
    <row r="9" spans="1:9" x14ac:dyDescent="0.25">
      <c r="A9" s="1">
        <v>7</v>
      </c>
      <c r="B9" s="1">
        <v>4</v>
      </c>
      <c r="C9" s="1">
        <v>23314</v>
      </c>
      <c r="D9" s="1" t="s">
        <v>43</v>
      </c>
      <c r="E9" s="1">
        <v>2</v>
      </c>
      <c r="F9" s="2">
        <f t="shared" si="0"/>
        <v>423315</v>
      </c>
      <c r="G9" s="2" t="str">
        <f t="shared" si="1"/>
        <v>67593</v>
      </c>
      <c r="H9" t="s">
        <v>7</v>
      </c>
      <c r="I9" t="str">
        <f t="shared" si="2"/>
        <v>#DTU_RAW.ENDERECO_REG[7] := 16#67593; // Corrente L2 (A)</v>
      </c>
    </row>
    <row r="10" spans="1:9" x14ac:dyDescent="0.25">
      <c r="A10" s="1">
        <v>8</v>
      </c>
      <c r="B10" s="1">
        <v>4</v>
      </c>
      <c r="C10" s="1">
        <v>23316</v>
      </c>
      <c r="D10" s="1" t="s">
        <v>44</v>
      </c>
      <c r="E10" s="1">
        <v>2</v>
      </c>
      <c r="F10" s="2">
        <f t="shared" si="0"/>
        <v>423317</v>
      </c>
      <c r="G10" s="2" t="str">
        <f t="shared" si="1"/>
        <v>67595</v>
      </c>
      <c r="H10" t="s">
        <v>8</v>
      </c>
      <c r="I10" t="str">
        <f t="shared" si="2"/>
        <v>#DTU_RAW.ENDERECO_REG[8] := 16#67595; // Corrente L3 (A)</v>
      </c>
    </row>
    <row r="11" spans="1:9" x14ac:dyDescent="0.25">
      <c r="A11" s="1">
        <v>9</v>
      </c>
      <c r="B11" s="1">
        <v>4</v>
      </c>
      <c r="C11" s="1">
        <v>23318</v>
      </c>
      <c r="D11" s="1" t="s">
        <v>45</v>
      </c>
      <c r="E11" s="1">
        <v>2</v>
      </c>
      <c r="F11" s="2">
        <f t="shared" si="0"/>
        <v>423319</v>
      </c>
      <c r="G11" s="2" t="str">
        <f t="shared" si="1"/>
        <v>67597</v>
      </c>
      <c r="H11" t="s">
        <v>9</v>
      </c>
      <c r="I11" t="str">
        <f t="shared" si="2"/>
        <v>#DTU_RAW.ENDERECO_REG[9] := 16#67597; // Corrente neutro (A)</v>
      </c>
    </row>
    <row r="12" spans="1:9" x14ac:dyDescent="0.25">
      <c r="A12" s="1">
        <v>10</v>
      </c>
      <c r="B12" s="1">
        <v>4</v>
      </c>
      <c r="C12" s="1">
        <v>23340</v>
      </c>
      <c r="D12" s="1" t="s">
        <v>46</v>
      </c>
      <c r="E12" s="1">
        <v>2</v>
      </c>
      <c r="F12" s="2">
        <f t="shared" si="0"/>
        <v>423341</v>
      </c>
      <c r="G12" s="2" t="str">
        <f t="shared" si="1"/>
        <v>675AD</v>
      </c>
      <c r="H12" t="s">
        <v>10</v>
      </c>
      <c r="I12" t="str">
        <f t="shared" si="2"/>
        <v>#DTU_RAW.ENDERECO_REG[10] := 16#675AD; // Potência aparente S1 (VA)</v>
      </c>
    </row>
    <row r="13" spans="1:9" x14ac:dyDescent="0.25">
      <c r="A13" s="1">
        <v>11</v>
      </c>
      <c r="B13" s="1">
        <v>4</v>
      </c>
      <c r="C13" s="1">
        <v>23342</v>
      </c>
      <c r="D13" s="1" t="s">
        <v>47</v>
      </c>
      <c r="E13" s="1">
        <v>2</v>
      </c>
      <c r="F13" s="2">
        <f t="shared" si="0"/>
        <v>423343</v>
      </c>
      <c r="G13" s="2" t="str">
        <f t="shared" si="1"/>
        <v>675AF</v>
      </c>
      <c r="H13" t="s">
        <v>11</v>
      </c>
      <c r="I13" t="str">
        <f t="shared" si="2"/>
        <v>#DTU_RAW.ENDERECO_REG[11] := 16#675AF; // Potência aparente S2 (VA)</v>
      </c>
    </row>
    <row r="14" spans="1:9" x14ac:dyDescent="0.25">
      <c r="A14" s="1">
        <v>12</v>
      </c>
      <c r="B14" s="1">
        <v>4</v>
      </c>
      <c r="C14" s="1">
        <v>23344</v>
      </c>
      <c r="D14" s="1" t="s">
        <v>48</v>
      </c>
      <c r="E14" s="1">
        <v>2</v>
      </c>
      <c r="F14" s="2">
        <f t="shared" si="0"/>
        <v>423345</v>
      </c>
      <c r="G14" s="2" t="str">
        <f t="shared" si="1"/>
        <v>675B1</v>
      </c>
      <c r="H14" t="s">
        <v>12</v>
      </c>
      <c r="I14" t="str">
        <f t="shared" si="2"/>
        <v>#DTU_RAW.ENDERECO_REG[12] := 16#675B1; // Potência aparente S3 (VA)</v>
      </c>
    </row>
    <row r="15" spans="1:9" x14ac:dyDescent="0.25">
      <c r="A15" s="1">
        <v>13</v>
      </c>
      <c r="B15" s="1">
        <v>4</v>
      </c>
      <c r="C15" s="1">
        <v>23324</v>
      </c>
      <c r="D15" s="1" t="s">
        <v>49</v>
      </c>
      <c r="E15" s="1">
        <v>2</v>
      </c>
      <c r="F15" s="2">
        <f t="shared" si="0"/>
        <v>423325</v>
      </c>
      <c r="G15" s="2" t="str">
        <f t="shared" si="1"/>
        <v>6759D</v>
      </c>
      <c r="H15" t="s">
        <v>13</v>
      </c>
      <c r="I15" t="str">
        <f t="shared" si="2"/>
        <v>#DTU_RAW.ENDERECO_REG[13] := 16#6759D; // Potência ativa P1 (W)</v>
      </c>
    </row>
    <row r="16" spans="1:9" x14ac:dyDescent="0.25">
      <c r="A16" s="1">
        <v>14</v>
      </c>
      <c r="B16" s="1">
        <v>4</v>
      </c>
      <c r="C16" s="1">
        <v>23326</v>
      </c>
      <c r="D16" s="1" t="s">
        <v>50</v>
      </c>
      <c r="E16" s="1">
        <v>2</v>
      </c>
      <c r="F16" s="2">
        <f t="shared" si="0"/>
        <v>423327</v>
      </c>
      <c r="G16" s="2" t="str">
        <f t="shared" si="1"/>
        <v>6759F</v>
      </c>
      <c r="H16" t="s">
        <v>14</v>
      </c>
      <c r="I16" t="str">
        <f t="shared" si="2"/>
        <v>#DTU_RAW.ENDERECO_REG[14] := 16#6759F; // Potência ativa P2 (W)</v>
      </c>
    </row>
    <row r="17" spans="1:9" x14ac:dyDescent="0.25">
      <c r="A17" s="1">
        <v>15</v>
      </c>
      <c r="B17" s="1">
        <v>4</v>
      </c>
      <c r="C17" s="1">
        <v>23328</v>
      </c>
      <c r="D17" s="1" t="s">
        <v>51</v>
      </c>
      <c r="E17" s="1">
        <v>2</v>
      </c>
      <c r="F17" s="2">
        <f t="shared" si="0"/>
        <v>423329</v>
      </c>
      <c r="G17" s="2" t="str">
        <f t="shared" si="1"/>
        <v>675A1</v>
      </c>
      <c r="H17" t="s">
        <v>15</v>
      </c>
      <c r="I17" t="str">
        <f t="shared" si="2"/>
        <v>#DTU_RAW.ENDERECO_REG[15] := 16#675A1; // Potência ativa P3 (W)</v>
      </c>
    </row>
    <row r="18" spans="1:9" x14ac:dyDescent="0.25">
      <c r="A18" s="1">
        <v>16</v>
      </c>
      <c r="B18" s="1">
        <v>4</v>
      </c>
      <c r="C18" s="1">
        <v>23332</v>
      </c>
      <c r="D18" s="1" t="s">
        <v>52</v>
      </c>
      <c r="E18" s="1">
        <v>2</v>
      </c>
      <c r="F18" s="2">
        <f t="shared" si="0"/>
        <v>423333</v>
      </c>
      <c r="G18" s="2" t="str">
        <f t="shared" si="1"/>
        <v>675A5</v>
      </c>
      <c r="H18" t="s">
        <v>16</v>
      </c>
      <c r="I18" t="str">
        <f t="shared" si="2"/>
        <v>#DTU_RAW.ENDERECO_REG[16] := 16#675A5; // Potência reativa Q1 (VAR)</v>
      </c>
    </row>
    <row r="19" spans="1:9" x14ac:dyDescent="0.25">
      <c r="A19" s="1">
        <v>17</v>
      </c>
      <c r="B19" s="1">
        <v>4</v>
      </c>
      <c r="C19" s="1">
        <v>23334</v>
      </c>
      <c r="D19" s="1" t="s">
        <v>53</v>
      </c>
      <c r="E19" s="1">
        <v>2</v>
      </c>
      <c r="F19" s="2">
        <f t="shared" si="0"/>
        <v>423335</v>
      </c>
      <c r="G19" s="2" t="str">
        <f t="shared" si="1"/>
        <v>675A7</v>
      </c>
      <c r="H19" t="s">
        <v>17</v>
      </c>
      <c r="I19" t="str">
        <f t="shared" si="2"/>
        <v>#DTU_RAW.ENDERECO_REG[17] := 16#675A7; // Potência reativa Q2 (VAR)</v>
      </c>
    </row>
    <row r="20" spans="1:9" x14ac:dyDescent="0.25">
      <c r="A20" s="1">
        <v>18</v>
      </c>
      <c r="B20" s="1">
        <v>4</v>
      </c>
      <c r="C20" s="1">
        <v>23336</v>
      </c>
      <c r="D20" s="1" t="s">
        <v>54</v>
      </c>
      <c r="E20" s="1">
        <v>2</v>
      </c>
      <c r="F20" s="2">
        <f t="shared" si="0"/>
        <v>423337</v>
      </c>
      <c r="G20" s="2" t="str">
        <f t="shared" si="1"/>
        <v>675A9</v>
      </c>
      <c r="H20" t="s">
        <v>18</v>
      </c>
      <c r="I20" t="str">
        <f t="shared" si="2"/>
        <v>#DTU_RAW.ENDERECO_REG[18] := 16#675A9; // Potência reativa Q3 (VAR)</v>
      </c>
    </row>
    <row r="21" spans="1:9" x14ac:dyDescent="0.25">
      <c r="A21" s="1">
        <v>19</v>
      </c>
      <c r="B21" s="1">
        <v>4</v>
      </c>
      <c r="C21" s="1">
        <v>23361</v>
      </c>
      <c r="D21" s="1" t="s">
        <v>55</v>
      </c>
      <c r="E21" s="1">
        <v>1</v>
      </c>
      <c r="F21" s="2">
        <f t="shared" ref="F21:F40" si="3">(B21*100000)+C21</f>
        <v>423361</v>
      </c>
      <c r="G21" s="2" t="str">
        <f t="shared" si="1"/>
        <v>675C1</v>
      </c>
      <c r="H21" t="s">
        <v>19</v>
      </c>
      <c r="I21" t="str">
        <f t="shared" si="2"/>
        <v>#DTU_RAW.ENDERECO_REG[19] := 16#675C1; // Fator de potência L1 (%)</v>
      </c>
    </row>
    <row r="22" spans="1:9" x14ac:dyDescent="0.25">
      <c r="A22" s="1">
        <v>20</v>
      </c>
      <c r="B22" s="1">
        <v>4</v>
      </c>
      <c r="C22" s="1">
        <v>23362</v>
      </c>
      <c r="D22" s="1" t="s">
        <v>56</v>
      </c>
      <c r="E22" s="1">
        <v>1</v>
      </c>
      <c r="F22" s="2">
        <f t="shared" si="3"/>
        <v>423362</v>
      </c>
      <c r="G22" s="2" t="str">
        <f t="shared" si="1"/>
        <v>675C2</v>
      </c>
      <c r="H22" t="s">
        <v>20</v>
      </c>
      <c r="I22" t="str">
        <f t="shared" si="2"/>
        <v>#DTU_RAW.ENDERECO_REG[20] := 16#675C2; // Fator de potência L2 (%)</v>
      </c>
    </row>
    <row r="23" spans="1:9" x14ac:dyDescent="0.25">
      <c r="A23" s="1">
        <v>21</v>
      </c>
      <c r="B23" s="1">
        <v>4</v>
      </c>
      <c r="C23" s="1">
        <v>23363</v>
      </c>
      <c r="D23" s="1" t="s">
        <v>57</v>
      </c>
      <c r="E23" s="1">
        <v>1</v>
      </c>
      <c r="F23" s="2">
        <f t="shared" si="3"/>
        <v>423363</v>
      </c>
      <c r="G23" s="2" t="str">
        <f t="shared" si="1"/>
        <v>675C3</v>
      </c>
      <c r="H23" t="s">
        <v>21</v>
      </c>
      <c r="I23" t="str">
        <f t="shared" si="2"/>
        <v>#DTU_RAW.ENDERECO_REG[21] := 16#675C3; // Fator de potência L3 (%)</v>
      </c>
    </row>
    <row r="24" spans="1:9" x14ac:dyDescent="0.25">
      <c r="A24" s="1">
        <v>22</v>
      </c>
      <c r="B24" s="1">
        <v>4</v>
      </c>
      <c r="C24" s="1">
        <v>23808</v>
      </c>
      <c r="D24" s="1" t="s">
        <v>58</v>
      </c>
      <c r="E24" s="1">
        <v>1</v>
      </c>
      <c r="F24" s="2">
        <f t="shared" si="3"/>
        <v>423808</v>
      </c>
      <c r="G24" s="2" t="str">
        <f t="shared" si="1"/>
        <v>67780</v>
      </c>
      <c r="H24" t="s">
        <v>22</v>
      </c>
      <c r="I24" t="str">
        <f t="shared" si="2"/>
        <v>#DTU_RAW.ENDERECO_REG[22] := 16#67780; // THD-R tensão L1 (%)</v>
      </c>
    </row>
    <row r="25" spans="1:9" x14ac:dyDescent="0.25">
      <c r="A25" s="1">
        <v>23</v>
      </c>
      <c r="B25" s="1">
        <v>4</v>
      </c>
      <c r="C25" s="1">
        <v>23936</v>
      </c>
      <c r="D25" s="1" t="s">
        <v>59</v>
      </c>
      <c r="E25" s="1">
        <v>1</v>
      </c>
      <c r="F25" s="2">
        <f t="shared" si="3"/>
        <v>423936</v>
      </c>
      <c r="G25" s="2" t="str">
        <f t="shared" si="1"/>
        <v>67800</v>
      </c>
      <c r="H25" t="s">
        <v>23</v>
      </c>
      <c r="I25" t="str">
        <f t="shared" si="2"/>
        <v>#DTU_RAW.ENDERECO_REG[23] := 16#67800; // THD-R tensão L2 (%)</v>
      </c>
    </row>
    <row r="26" spans="1:9" x14ac:dyDescent="0.25">
      <c r="A26" s="1">
        <v>24</v>
      </c>
      <c r="B26" s="1">
        <v>4</v>
      </c>
      <c r="C26" s="1">
        <v>24064</v>
      </c>
      <c r="D26" s="1" t="s">
        <v>60</v>
      </c>
      <c r="E26" s="1">
        <v>1</v>
      </c>
      <c r="F26" s="2">
        <f t="shared" si="3"/>
        <v>424064</v>
      </c>
      <c r="G26" s="2" t="str">
        <f t="shared" si="1"/>
        <v>67880</v>
      </c>
      <c r="H26" t="s">
        <v>24</v>
      </c>
      <c r="I26" t="str">
        <f t="shared" si="2"/>
        <v>#DTU_RAW.ENDERECO_REG[24] := 16#67880; // THD-R tensão L3 (%)</v>
      </c>
    </row>
    <row r="27" spans="1:9" x14ac:dyDescent="0.25">
      <c r="A27" s="1">
        <v>25</v>
      </c>
      <c r="B27" s="1">
        <v>4</v>
      </c>
      <c r="C27" s="1">
        <v>24576</v>
      </c>
      <c r="D27" s="1" t="s">
        <v>61</v>
      </c>
      <c r="E27" s="1">
        <v>1</v>
      </c>
      <c r="F27" s="2">
        <f t="shared" si="3"/>
        <v>424576</v>
      </c>
      <c r="G27" s="2" t="str">
        <f t="shared" si="1"/>
        <v>67A80</v>
      </c>
      <c r="H27" t="s">
        <v>25</v>
      </c>
      <c r="I27" t="str">
        <f t="shared" si="2"/>
        <v>#DTU_RAW.ENDERECO_REG[25] := 16#67A80; // THD-R corrente L1 (%)</v>
      </c>
    </row>
    <row r="28" spans="1:9" x14ac:dyDescent="0.25">
      <c r="A28" s="1">
        <v>26</v>
      </c>
      <c r="B28" s="1">
        <v>4</v>
      </c>
      <c r="C28" s="1">
        <v>24704</v>
      </c>
      <c r="D28" s="1" t="s">
        <v>62</v>
      </c>
      <c r="E28" s="1">
        <v>1</v>
      </c>
      <c r="F28" s="2">
        <f t="shared" si="3"/>
        <v>424704</v>
      </c>
      <c r="G28" s="2" t="str">
        <f t="shared" si="1"/>
        <v>67B00</v>
      </c>
      <c r="H28" t="s">
        <v>26</v>
      </c>
      <c r="I28" t="str">
        <f t="shared" si="2"/>
        <v>#DTU_RAW.ENDERECO_REG[26] := 16#67B00; // THD-R corrente L2 (%)</v>
      </c>
    </row>
    <row r="29" spans="1:9" x14ac:dyDescent="0.25">
      <c r="A29" s="1">
        <v>27</v>
      </c>
      <c r="B29" s="1">
        <v>4</v>
      </c>
      <c r="C29" s="1">
        <v>24832</v>
      </c>
      <c r="D29" s="1" t="s">
        <v>63</v>
      </c>
      <c r="E29" s="1">
        <v>1</v>
      </c>
      <c r="F29" s="2">
        <f t="shared" si="3"/>
        <v>424832</v>
      </c>
      <c r="G29" s="2" t="str">
        <f t="shared" si="1"/>
        <v>67B80</v>
      </c>
      <c r="H29" t="s">
        <v>27</v>
      </c>
      <c r="I29" t="str">
        <f t="shared" si="2"/>
        <v>#DTU_RAW.ENDERECO_REG[27] := 16#67B80; // THD-R corrente L3 (%)</v>
      </c>
    </row>
    <row r="30" spans="1:9" x14ac:dyDescent="0.25">
      <c r="A30" s="1">
        <v>28</v>
      </c>
      <c r="B30" s="1">
        <v>4</v>
      </c>
      <c r="C30" s="1">
        <v>23346</v>
      </c>
      <c r="D30" s="1" t="s">
        <v>64</v>
      </c>
      <c r="E30" s="1">
        <v>1</v>
      </c>
      <c r="F30" s="2">
        <f t="shared" si="3"/>
        <v>423346</v>
      </c>
      <c r="G30" s="2" t="str">
        <f t="shared" si="1"/>
        <v>675B2</v>
      </c>
      <c r="H30" t="s">
        <v>28</v>
      </c>
      <c r="I30" t="str">
        <f t="shared" si="2"/>
        <v>#DTU_RAW.ENDERECO_REG[28] := 16#675B2; // Frequência da rede</v>
      </c>
    </row>
    <row r="31" spans="1:9" x14ac:dyDescent="0.25">
      <c r="A31" s="1">
        <v>29</v>
      </c>
      <c r="B31" s="1">
        <v>4</v>
      </c>
      <c r="C31" s="1">
        <v>20504</v>
      </c>
      <c r="D31" s="1" t="s">
        <v>71</v>
      </c>
      <c r="E31" s="1">
        <v>4</v>
      </c>
      <c r="F31" s="2">
        <f t="shared" si="3"/>
        <v>420504</v>
      </c>
      <c r="G31" s="2" t="str">
        <f t="shared" si="1"/>
        <v>66A98</v>
      </c>
      <c r="H31" t="s">
        <v>29</v>
      </c>
      <c r="I31" t="str">
        <f t="shared" si="2"/>
        <v>#DTU_RAW.ENDERECO_REG[29] := 16#66A98; // Soma da potência aparente (kVAh)</v>
      </c>
    </row>
    <row r="32" spans="1:9" x14ac:dyDescent="0.25">
      <c r="C32" s="1"/>
      <c r="D32" s="1"/>
      <c r="F32" s="2">
        <f>(B32*100000)+C32</f>
        <v>0</v>
      </c>
      <c r="G32" s="2" t="str">
        <f>DEC2HEX(F32)</f>
        <v>0</v>
      </c>
      <c r="I32" t="str">
        <f>_xlfn.CONCAT("#DTU_RAW.ENDERECO_REG[",A32,"] := 16#",G32,"; ",H32)</f>
        <v xml:space="preserve">#DTU_RAW.ENDERECO_REG[] := 16#0; </v>
      </c>
    </row>
    <row r="33" spans="1:9" x14ac:dyDescent="0.25">
      <c r="A33" s="1">
        <v>30</v>
      </c>
      <c r="B33" s="1">
        <v>4</v>
      </c>
      <c r="C33" s="1">
        <v>20480</v>
      </c>
      <c r="D33" s="1">
        <v>5000</v>
      </c>
      <c r="E33" s="1">
        <v>4</v>
      </c>
      <c r="F33" s="2">
        <f t="shared" si="3"/>
        <v>420480</v>
      </c>
      <c r="G33" s="2" t="str">
        <f t="shared" si="1"/>
        <v>66A80</v>
      </c>
      <c r="H33" t="s">
        <v>69</v>
      </c>
      <c r="I33" t="str">
        <f t="shared" si="2"/>
        <v>#DTU_RAW.ENDERECO_REG[30] := 16#66A80; // Soma da potência ativa (kWh)</v>
      </c>
    </row>
    <row r="34" spans="1:9" x14ac:dyDescent="0.25">
      <c r="C34" s="1"/>
      <c r="D34" s="1"/>
      <c r="F34" s="2">
        <f>(B34*100000)+C34</f>
        <v>0</v>
      </c>
      <c r="G34" s="2" t="str">
        <f>DEC2HEX(F34)</f>
        <v>0</v>
      </c>
      <c r="I34" t="str">
        <f>_xlfn.CONCAT("#DTU_RAW.ENDERECO_REG[",A34,"] := 16#",G34,"; ",H34)</f>
        <v xml:space="preserve">#DTU_RAW.ENDERECO_REG[] := 16#0; </v>
      </c>
    </row>
    <row r="35" spans="1:9" x14ac:dyDescent="0.25">
      <c r="A35" s="1">
        <v>31</v>
      </c>
      <c r="B35" s="1">
        <v>4</v>
      </c>
      <c r="C35" s="1">
        <v>20492</v>
      </c>
      <c r="D35" s="1" t="s">
        <v>70</v>
      </c>
      <c r="E35" s="1">
        <v>4</v>
      </c>
      <c r="F35" s="2">
        <f t="shared" si="3"/>
        <v>420492</v>
      </c>
      <c r="G35" s="2" t="str">
        <f t="shared" si="1"/>
        <v>66A8C</v>
      </c>
      <c r="H35" t="s">
        <v>72</v>
      </c>
      <c r="I35" t="str">
        <f t="shared" si="2"/>
        <v>#DTU_RAW.ENDERECO_REG[31] := 16#66A8C; // Soma da potência reativa (kVarh)</v>
      </c>
    </row>
    <row r="36" spans="1:9" x14ac:dyDescent="0.25">
      <c r="C36" s="1"/>
      <c r="D36" s="1"/>
      <c r="F36" s="2">
        <f>(B36*100000)+C36</f>
        <v>0</v>
      </c>
      <c r="G36" s="2" t="str">
        <f>DEC2HEX(F36)</f>
        <v>0</v>
      </c>
      <c r="I36" t="str">
        <f>_xlfn.CONCAT("#DTU_RAW.ENDERECO_REG[",A36,"] := 16#",G36,"; ",H36)</f>
        <v xml:space="preserve">#DTU_RAW.ENDERECO_REG[] := 16#0; </v>
      </c>
    </row>
    <row r="37" spans="1:9" x14ac:dyDescent="0.25">
      <c r="A37" s="1">
        <v>32</v>
      </c>
      <c r="B37" s="1">
        <v>4</v>
      </c>
      <c r="C37" s="1">
        <v>23338</v>
      </c>
      <c r="D37" s="1" t="s">
        <v>67</v>
      </c>
      <c r="E37" s="1">
        <v>2</v>
      </c>
      <c r="F37" s="2">
        <f t="shared" ref="F37:F39" si="4">(B37*100000)+C37+1</f>
        <v>423339</v>
      </c>
      <c r="G37" s="2" t="str">
        <f t="shared" si="1"/>
        <v>675AB</v>
      </c>
      <c r="H37" t="s">
        <v>30</v>
      </c>
      <c r="I37" t="str">
        <f t="shared" si="2"/>
        <v>#DTU_RAW.ENDERECO_REG[32] := 16#675AB; // Potência aparente total (Va)</v>
      </c>
    </row>
    <row r="38" spans="1:9" x14ac:dyDescent="0.25">
      <c r="A38" s="1">
        <v>33</v>
      </c>
      <c r="B38" s="1">
        <v>4</v>
      </c>
      <c r="C38" s="1">
        <v>23322</v>
      </c>
      <c r="D38" s="1" t="s">
        <v>65</v>
      </c>
      <c r="E38" s="1">
        <v>2</v>
      </c>
      <c r="F38" s="2">
        <f t="shared" si="4"/>
        <v>423323</v>
      </c>
      <c r="G38" s="2" t="str">
        <f t="shared" si="1"/>
        <v>6759B</v>
      </c>
      <c r="H38" t="s">
        <v>31</v>
      </c>
      <c r="I38" t="str">
        <f t="shared" si="2"/>
        <v>#DTU_RAW.ENDERECO_REG[33] := 16#6759B; // Potência ativa total (W)</v>
      </c>
    </row>
    <row r="39" spans="1:9" x14ac:dyDescent="0.25">
      <c r="A39" s="1">
        <v>34</v>
      </c>
      <c r="B39" s="1">
        <v>4</v>
      </c>
      <c r="C39" s="1">
        <v>23330</v>
      </c>
      <c r="D39" s="1" t="s">
        <v>66</v>
      </c>
      <c r="E39" s="1">
        <v>2</v>
      </c>
      <c r="F39" s="2">
        <f t="shared" si="4"/>
        <v>423331</v>
      </c>
      <c r="G39" s="2" t="str">
        <f t="shared" si="1"/>
        <v>675A3</v>
      </c>
      <c r="H39" t="s">
        <v>32</v>
      </c>
      <c r="I39" t="str">
        <f t="shared" si="2"/>
        <v>#DTU_RAW.ENDERECO_REG[34] := 16#675A3; // Potência reativa total (var)</v>
      </c>
    </row>
    <row r="40" spans="1:9" x14ac:dyDescent="0.25">
      <c r="A40" s="1">
        <v>35</v>
      </c>
      <c r="B40" s="1">
        <v>4</v>
      </c>
      <c r="C40" s="1">
        <v>23360</v>
      </c>
      <c r="D40" s="1" t="s">
        <v>68</v>
      </c>
      <c r="E40" s="1">
        <v>1</v>
      </c>
      <c r="F40" s="2">
        <f t="shared" si="3"/>
        <v>423360</v>
      </c>
      <c r="G40" s="2" t="str">
        <f t="shared" si="1"/>
        <v>675C0</v>
      </c>
      <c r="H40" t="s">
        <v>33</v>
      </c>
      <c r="I40" t="str">
        <f t="shared" si="2"/>
        <v>#DTU_RAW.ENDERECO_REG[35] := 16#675C0; // Fator de potência total (%)</v>
      </c>
    </row>
    <row r="41" spans="1:9" x14ac:dyDescent="0.25">
      <c r="C41" s="1"/>
      <c r="D41" s="1"/>
    </row>
    <row r="42" spans="1:9" x14ac:dyDescent="0.25">
      <c r="C42" s="1"/>
      <c r="D4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2326-9BC8-419B-90D8-09C2260E3472}">
  <dimension ref="A1:J32"/>
  <sheetViews>
    <sheetView tabSelected="1" workbookViewId="0">
      <selection activeCell="J2" sqref="J2"/>
    </sheetView>
  </sheetViews>
  <sheetFormatPr defaultRowHeight="15" x14ac:dyDescent="0.25"/>
  <cols>
    <col min="1" max="1" width="8.7109375" style="1" bestFit="1" customWidth="1"/>
    <col min="2" max="2" width="12.85546875" style="1" bestFit="1" customWidth="1"/>
    <col min="3" max="4" width="8.7109375" style="2" bestFit="1" customWidth="1"/>
    <col min="5" max="5" width="9" style="1" bestFit="1" customWidth="1"/>
    <col min="6" max="7" width="29.85546875" style="2" bestFit="1" customWidth="1"/>
    <col min="8" max="9" width="33.5703125" customWidth="1"/>
    <col min="10" max="10" width="77.7109375" bestFit="1" customWidth="1"/>
  </cols>
  <sheetData>
    <row r="1" spans="1:10" x14ac:dyDescent="0.25">
      <c r="A1" s="1" t="s">
        <v>78</v>
      </c>
      <c r="B1" s="1" t="s">
        <v>74</v>
      </c>
      <c r="C1" s="2" t="s">
        <v>41</v>
      </c>
      <c r="D1" s="2" t="s">
        <v>40</v>
      </c>
      <c r="E1" s="1" t="s">
        <v>73</v>
      </c>
      <c r="F1" s="2" t="s">
        <v>76</v>
      </c>
      <c r="G1" s="2" t="s">
        <v>77</v>
      </c>
      <c r="H1" s="1" t="s">
        <v>75</v>
      </c>
      <c r="I1" s="1" t="s">
        <v>80</v>
      </c>
      <c r="J1" s="2" t="s">
        <v>79</v>
      </c>
    </row>
    <row r="2" spans="1:10" x14ac:dyDescent="0.25">
      <c r="A2" s="1">
        <v>0</v>
      </c>
      <c r="B2" s="1">
        <v>4</v>
      </c>
      <c r="C2" s="2">
        <v>782</v>
      </c>
      <c r="D2" s="2" t="str">
        <f>DEC2HEX(C2)</f>
        <v>30E</v>
      </c>
      <c r="E2" s="1">
        <v>1</v>
      </c>
      <c r="F2" s="2">
        <f t="shared" ref="F2:F31" si="0">(B2*100000)+C2+1</f>
        <v>400783</v>
      </c>
      <c r="G2" s="2" t="str">
        <f>DEC2HEX(F2)</f>
        <v>61D8F</v>
      </c>
      <c r="H2" t="s">
        <v>0</v>
      </c>
      <c r="I2" s="2"/>
      <c r="J2" t="str">
        <f>_xlfn.CONCAT("#DTU_RAW.ENDERECO_REG[",A2,"] := 16#",G2,"; ",H2,Tabela13[[#This Row],[SB]])</f>
        <v>#DTU_RAW.ENDERECO_REG[0] := 16#61D8F; // Tensão L1 e neutro (V)</v>
      </c>
    </row>
    <row r="3" spans="1:10" x14ac:dyDescent="0.25">
      <c r="A3" s="1">
        <v>1</v>
      </c>
      <c r="B3" s="1">
        <v>4</v>
      </c>
      <c r="C3" s="2">
        <v>783</v>
      </c>
      <c r="D3" s="2" t="str">
        <f t="shared" ref="D3:D29" si="1">DEC2HEX(C3)</f>
        <v>30F</v>
      </c>
      <c r="E3" s="1">
        <v>1</v>
      </c>
      <c r="F3" s="2">
        <f t="shared" si="0"/>
        <v>400784</v>
      </c>
      <c r="G3" s="2" t="str">
        <f t="shared" ref="G3:G31" si="2">DEC2HEX(F3)</f>
        <v>61D90</v>
      </c>
      <c r="H3" t="s">
        <v>1</v>
      </c>
      <c r="I3" s="2"/>
      <c r="J3" t="str">
        <f>_xlfn.CONCAT("#DTU_RAW.ENDERECO_REG[",A3,"] := 16#",G3,"; ",H3,Tabela13[[#This Row],[SB]])</f>
        <v>#DTU_RAW.ENDERECO_REG[1] := 16#61D90; // Tensão L2 e neutro (V)</v>
      </c>
    </row>
    <row r="4" spans="1:10" x14ac:dyDescent="0.25">
      <c r="A4" s="1">
        <v>2</v>
      </c>
      <c r="B4" s="1">
        <v>4</v>
      </c>
      <c r="C4" s="1">
        <v>784</v>
      </c>
      <c r="D4" s="2" t="str">
        <f t="shared" si="1"/>
        <v>310</v>
      </c>
      <c r="E4" s="1">
        <v>1</v>
      </c>
      <c r="F4" s="2">
        <f t="shared" si="0"/>
        <v>400785</v>
      </c>
      <c r="G4" s="2" t="str">
        <f>DEC2HEX(F4)</f>
        <v>61D91</v>
      </c>
      <c r="H4" t="s">
        <v>2</v>
      </c>
      <c r="I4" s="2"/>
      <c r="J4" t="str">
        <f>_xlfn.CONCAT("#DTU_RAW.ENDERECO_REG[",A4,"] := 16#",G4,"; ",H4,Tabela13[[#This Row],[SB]])</f>
        <v>#DTU_RAW.ENDERECO_REG[2] := 16#61D91; // Tensão L3 e neutro (V)</v>
      </c>
    </row>
    <row r="5" spans="1:10" x14ac:dyDescent="0.25">
      <c r="A5" s="1">
        <v>3</v>
      </c>
      <c r="B5" s="1">
        <v>4</v>
      </c>
      <c r="C5" s="2">
        <v>778</v>
      </c>
      <c r="D5" s="2" t="str">
        <f t="shared" si="1"/>
        <v>30A</v>
      </c>
      <c r="E5" s="1">
        <v>1</v>
      </c>
      <c r="F5" s="2">
        <f t="shared" si="0"/>
        <v>400779</v>
      </c>
      <c r="G5" s="2" t="str">
        <f t="shared" si="2"/>
        <v>61D8B</v>
      </c>
      <c r="H5" t="s">
        <v>3</v>
      </c>
      <c r="I5" s="2"/>
      <c r="J5" t="str">
        <f>_xlfn.CONCAT("#DTU_RAW.ENDERECO_REG[",A5,"] := 16#",G5,"; ",H5,Tabela13[[#This Row],[SB]])</f>
        <v>#DTU_RAW.ENDERECO_REG[3] := 16#61D8B; // Tensão L1 e L2 (V)</v>
      </c>
    </row>
    <row r="6" spans="1:10" x14ac:dyDescent="0.25">
      <c r="A6" s="1">
        <v>4</v>
      </c>
      <c r="B6" s="1">
        <v>4</v>
      </c>
      <c r="C6" s="2">
        <v>779</v>
      </c>
      <c r="D6" s="2" t="str">
        <f t="shared" si="1"/>
        <v>30B</v>
      </c>
      <c r="E6" s="1">
        <v>1</v>
      </c>
      <c r="F6" s="2">
        <f t="shared" si="0"/>
        <v>400780</v>
      </c>
      <c r="G6" s="2" t="str">
        <f t="shared" si="2"/>
        <v>61D8C</v>
      </c>
      <c r="H6" t="s">
        <v>4</v>
      </c>
      <c r="I6" s="2"/>
      <c r="J6" t="str">
        <f>_xlfn.CONCAT("#DTU_RAW.ENDERECO_REG[",A6,"] := 16#",G6,"; ",H6,Tabela13[[#This Row],[SB]])</f>
        <v>#DTU_RAW.ENDERECO_REG[4] := 16#61D8C; // Tensão L2 e L3 (V)</v>
      </c>
    </row>
    <row r="7" spans="1:10" x14ac:dyDescent="0.25">
      <c r="A7" s="1">
        <v>5</v>
      </c>
      <c r="B7" s="1">
        <v>4</v>
      </c>
      <c r="C7" s="1">
        <v>780</v>
      </c>
      <c r="D7" s="2" t="str">
        <f t="shared" si="1"/>
        <v>30C</v>
      </c>
      <c r="E7" s="1">
        <v>1</v>
      </c>
      <c r="F7" s="2">
        <f t="shared" si="0"/>
        <v>400781</v>
      </c>
      <c r="G7" s="2" t="str">
        <f>DEC2HEX(F7)</f>
        <v>61D8D</v>
      </c>
      <c r="H7" t="s">
        <v>5</v>
      </c>
      <c r="I7" s="2"/>
      <c r="J7" t="str">
        <f>_xlfn.CONCAT("#DTU_RAW.ENDERECO_REG[",A7,"] := 16#",G7,"; ",H7,Tabela13[[#This Row],[SB]])</f>
        <v>#DTU_RAW.ENDERECO_REG[5] := 16#61D8D; // Tensão L3 e L1 (V)</v>
      </c>
    </row>
    <row r="8" spans="1:10" x14ac:dyDescent="0.25">
      <c r="A8" s="1">
        <v>6</v>
      </c>
      <c r="B8" s="1">
        <v>4</v>
      </c>
      <c r="C8" s="1">
        <v>768</v>
      </c>
      <c r="D8" s="2" t="str">
        <f t="shared" si="1"/>
        <v>300</v>
      </c>
      <c r="E8" s="1">
        <v>1</v>
      </c>
      <c r="F8" s="2">
        <f t="shared" si="0"/>
        <v>400769</v>
      </c>
      <c r="G8" s="2" t="str">
        <f t="shared" si="2"/>
        <v>61D81</v>
      </c>
      <c r="H8" t="s">
        <v>6</v>
      </c>
      <c r="I8" s="2"/>
      <c r="J8" t="str">
        <f>_xlfn.CONCAT("#DTU_RAW.ENDERECO_REG[",A8,"] := 16#",G8,"; ",H8,Tabela13[[#This Row],[SB]])</f>
        <v>#DTU_RAW.ENDERECO_REG[6] := 16#61D81; // Corrente L1 (A)</v>
      </c>
    </row>
    <row r="9" spans="1:10" x14ac:dyDescent="0.25">
      <c r="A9" s="1">
        <v>7</v>
      </c>
      <c r="B9" s="1">
        <v>4</v>
      </c>
      <c r="C9" s="1">
        <v>769</v>
      </c>
      <c r="D9" s="2" t="str">
        <f t="shared" si="1"/>
        <v>301</v>
      </c>
      <c r="E9" s="1">
        <v>1</v>
      </c>
      <c r="F9" s="2">
        <f t="shared" si="0"/>
        <v>400770</v>
      </c>
      <c r="G9" s="2" t="str">
        <f t="shared" si="2"/>
        <v>61D82</v>
      </c>
      <c r="H9" t="s">
        <v>7</v>
      </c>
      <c r="I9" s="2"/>
      <c r="J9" t="str">
        <f>_xlfn.CONCAT("#DTU_RAW.ENDERECO_REG[",A9,"] := 16#",G9,"; ",H9,Tabela13[[#This Row],[SB]])</f>
        <v>#DTU_RAW.ENDERECO_REG[7] := 16#61D82; // Corrente L2 (A)</v>
      </c>
    </row>
    <row r="10" spans="1:10" x14ac:dyDescent="0.25">
      <c r="A10" s="1">
        <v>8</v>
      </c>
      <c r="B10" s="1">
        <v>4</v>
      </c>
      <c r="C10" s="1">
        <v>770</v>
      </c>
      <c r="D10" s="2" t="str">
        <f t="shared" si="1"/>
        <v>302</v>
      </c>
      <c r="E10" s="1">
        <v>1</v>
      </c>
      <c r="F10" s="2">
        <f t="shared" si="0"/>
        <v>400771</v>
      </c>
      <c r="G10" s="2" t="str">
        <f>DEC2HEX(F10)</f>
        <v>61D83</v>
      </c>
      <c r="H10" t="s">
        <v>8</v>
      </c>
      <c r="I10" s="2"/>
      <c r="J10" t="str">
        <f>_xlfn.CONCAT("#DTU_RAW.ENDERECO_REG[",A10,"] := 16#",G10,"; ",H10,Tabela13[[#This Row],[SB]])</f>
        <v>#DTU_RAW.ENDERECO_REG[8] := 16#61D83; // Corrente L3 (A)</v>
      </c>
    </row>
    <row r="11" spans="1:10" x14ac:dyDescent="0.25">
      <c r="A11" s="1">
        <v>9</v>
      </c>
      <c r="B11" s="1">
        <v>4</v>
      </c>
      <c r="C11" s="1">
        <v>771</v>
      </c>
      <c r="D11" s="2" t="str">
        <f t="shared" si="1"/>
        <v>303</v>
      </c>
      <c r="E11" s="1">
        <v>1</v>
      </c>
      <c r="F11" s="2">
        <f t="shared" si="0"/>
        <v>400772</v>
      </c>
      <c r="G11" s="2" t="str">
        <f>DEC2HEX(F11)</f>
        <v>61D84</v>
      </c>
      <c r="H11" t="s">
        <v>9</v>
      </c>
      <c r="I11" s="2"/>
      <c r="J11" t="str">
        <f>_xlfn.CONCAT("#DTU_RAW.ENDERECO_REG[",A11,"] := 16#",G11,"; ",H11,Tabela13[[#This Row],[SB]])</f>
        <v>#DTU_RAW.ENDERECO_REG[9] := 16#61D84; // Corrente neutro (A)</v>
      </c>
    </row>
    <row r="12" spans="1:10" x14ac:dyDescent="0.25">
      <c r="A12" s="1">
        <v>10</v>
      </c>
      <c r="B12" s="1">
        <v>4</v>
      </c>
      <c r="C12" s="1">
        <v>803</v>
      </c>
      <c r="D12" s="2" t="str">
        <f t="shared" si="1"/>
        <v>323</v>
      </c>
      <c r="E12" s="1">
        <v>1</v>
      </c>
      <c r="F12" s="2">
        <f t="shared" si="0"/>
        <v>400804</v>
      </c>
      <c r="G12" s="2" t="str">
        <f t="shared" si="2"/>
        <v>61DA4</v>
      </c>
      <c r="H12" t="s">
        <v>10</v>
      </c>
      <c r="I12" s="2"/>
      <c r="J12" t="str">
        <f>_xlfn.CONCAT("#DTU_RAW.ENDERECO_REG[",A12,"] := 16#",G12,"; ",H12,Tabela13[[#This Row],[SB]])</f>
        <v>#DTU_RAW.ENDERECO_REG[10] := 16#61DA4; // Potência aparente S1 (VA)</v>
      </c>
    </row>
    <row r="13" spans="1:10" x14ac:dyDescent="0.25">
      <c r="A13" s="1">
        <v>11</v>
      </c>
      <c r="B13" s="1">
        <v>4</v>
      </c>
      <c r="C13" s="1">
        <v>804</v>
      </c>
      <c r="D13" s="2" t="str">
        <f t="shared" si="1"/>
        <v>324</v>
      </c>
      <c r="E13" s="1">
        <v>1</v>
      </c>
      <c r="F13" s="2">
        <f t="shared" si="0"/>
        <v>400805</v>
      </c>
      <c r="G13" s="2" t="str">
        <f>DEC2HEX(F13)</f>
        <v>61DA5</v>
      </c>
      <c r="H13" t="s">
        <v>11</v>
      </c>
      <c r="I13" s="2"/>
      <c r="J13" t="str">
        <f>_xlfn.CONCAT("#DTU_RAW.ENDERECO_REG[",A13,"] := 16#",G13,"; ",H13,Tabela13[[#This Row],[SB]])</f>
        <v>#DTU_RAW.ENDERECO_REG[11] := 16#61DA5; // Potência aparente S2 (VA)</v>
      </c>
    </row>
    <row r="14" spans="1:10" x14ac:dyDescent="0.25">
      <c r="A14" s="1">
        <v>12</v>
      </c>
      <c r="B14" s="1">
        <v>4</v>
      </c>
      <c r="C14" s="1">
        <v>805</v>
      </c>
      <c r="D14" s="2" t="str">
        <f t="shared" si="1"/>
        <v>325</v>
      </c>
      <c r="E14" s="1">
        <v>1</v>
      </c>
      <c r="F14" s="2">
        <f t="shared" si="0"/>
        <v>400806</v>
      </c>
      <c r="G14" s="2" t="str">
        <f>DEC2HEX(F14)</f>
        <v>61DA6</v>
      </c>
      <c r="H14" t="s">
        <v>12</v>
      </c>
      <c r="I14" s="2"/>
      <c r="J14" t="str">
        <f>_xlfn.CONCAT("#DTU_RAW.ENDERECO_REG[",A14,"] := 16#",G14,"; ",H14,Tabela13[[#This Row],[SB]])</f>
        <v>#DTU_RAW.ENDERECO_REG[12] := 16#61DA6; // Potência aparente S3 (VA)</v>
      </c>
    </row>
    <row r="15" spans="1:10" x14ac:dyDescent="0.25">
      <c r="A15" s="1">
        <v>13</v>
      </c>
      <c r="B15" s="1">
        <v>4</v>
      </c>
      <c r="C15" s="1">
        <v>791</v>
      </c>
      <c r="D15" s="2" t="str">
        <f t="shared" si="1"/>
        <v>317</v>
      </c>
      <c r="E15" s="1">
        <v>1</v>
      </c>
      <c r="F15" s="2">
        <f t="shared" si="0"/>
        <v>400792</v>
      </c>
      <c r="G15" s="2" t="str">
        <f t="shared" si="2"/>
        <v>61D98</v>
      </c>
      <c r="H15" t="s">
        <v>13</v>
      </c>
      <c r="I15" s="2"/>
      <c r="J15" t="str">
        <f>_xlfn.CONCAT("#DTU_RAW.ENDERECO_REG[",A15,"] := 16#",G15,"; ",H15,Tabela13[[#This Row],[SB]])</f>
        <v>#DTU_RAW.ENDERECO_REG[13] := 16#61D98; // Potência ativa P1 (W)</v>
      </c>
    </row>
    <row r="16" spans="1:10" x14ac:dyDescent="0.25">
      <c r="A16" s="1">
        <v>14</v>
      </c>
      <c r="B16" s="1">
        <v>4</v>
      </c>
      <c r="C16" s="1">
        <v>792</v>
      </c>
      <c r="D16" s="2" t="str">
        <f t="shared" si="1"/>
        <v>318</v>
      </c>
      <c r="E16" s="1">
        <v>1</v>
      </c>
      <c r="F16" s="2">
        <f t="shared" si="0"/>
        <v>400793</v>
      </c>
      <c r="G16" s="2" t="str">
        <f>DEC2HEX(F16)</f>
        <v>61D99</v>
      </c>
      <c r="H16" t="s">
        <v>14</v>
      </c>
      <c r="I16" s="2"/>
      <c r="J16" t="str">
        <f>_xlfn.CONCAT("#DTU_RAW.ENDERECO_REG[",A16,"] := 16#",G16,"; ",H16,Tabela13[[#This Row],[SB]])</f>
        <v>#DTU_RAW.ENDERECO_REG[14] := 16#61D99; // Potência ativa P2 (W)</v>
      </c>
    </row>
    <row r="17" spans="1:10" x14ac:dyDescent="0.25">
      <c r="A17" s="1">
        <v>15</v>
      </c>
      <c r="B17" s="1">
        <v>4</v>
      </c>
      <c r="C17" s="1">
        <v>793</v>
      </c>
      <c r="D17" s="2" t="str">
        <f t="shared" si="1"/>
        <v>319</v>
      </c>
      <c r="E17" s="1">
        <v>1</v>
      </c>
      <c r="F17" s="2">
        <f t="shared" si="0"/>
        <v>400794</v>
      </c>
      <c r="G17" s="2" t="str">
        <f t="shared" si="2"/>
        <v>61D9A</v>
      </c>
      <c r="H17" t="s">
        <v>15</v>
      </c>
      <c r="I17" s="2"/>
      <c r="J17" t="str">
        <f>_xlfn.CONCAT("#DTU_RAW.ENDERECO_REG[",A17,"] := 16#",G17,"; ",H17,Tabela13[[#This Row],[SB]])</f>
        <v>#DTU_RAW.ENDERECO_REG[15] := 16#61D9A; // Potência ativa P3 (W)</v>
      </c>
    </row>
    <row r="18" spans="1:10" x14ac:dyDescent="0.25">
      <c r="A18" s="1">
        <v>16</v>
      </c>
      <c r="B18" s="1">
        <v>4</v>
      </c>
      <c r="C18" s="1">
        <v>799</v>
      </c>
      <c r="D18" s="2" t="str">
        <f t="shared" si="1"/>
        <v>31F</v>
      </c>
      <c r="E18" s="1">
        <v>1</v>
      </c>
      <c r="F18" s="2">
        <f t="shared" si="0"/>
        <v>400800</v>
      </c>
      <c r="G18" s="2" t="str">
        <f t="shared" si="2"/>
        <v>61DA0</v>
      </c>
      <c r="H18" t="s">
        <v>16</v>
      </c>
      <c r="I18" s="2"/>
      <c r="J18" t="str">
        <f>_xlfn.CONCAT("#DTU_RAW.ENDERECO_REG[",A18,"] := 16#",G18,"; ",H18,Tabela13[[#This Row],[SB]])</f>
        <v>#DTU_RAW.ENDERECO_REG[16] := 16#61DA0; // Potência reativa Q1 (VAR)</v>
      </c>
    </row>
    <row r="19" spans="1:10" x14ac:dyDescent="0.25">
      <c r="A19" s="1">
        <v>17</v>
      </c>
      <c r="B19" s="1">
        <v>4</v>
      </c>
      <c r="C19" s="1">
        <v>800</v>
      </c>
      <c r="D19" s="2" t="str">
        <f t="shared" si="1"/>
        <v>320</v>
      </c>
      <c r="E19" s="1">
        <v>1</v>
      </c>
      <c r="F19" s="2">
        <f t="shared" si="0"/>
        <v>400801</v>
      </c>
      <c r="G19" s="2" t="str">
        <f t="shared" si="2"/>
        <v>61DA1</v>
      </c>
      <c r="H19" t="s">
        <v>17</v>
      </c>
      <c r="I19" s="2"/>
      <c r="J19" t="str">
        <f>_xlfn.CONCAT("#DTU_RAW.ENDERECO_REG[",A19,"] := 16#",G19,"; ",H19,Tabela13[[#This Row],[SB]])</f>
        <v>#DTU_RAW.ENDERECO_REG[17] := 16#61DA1; // Potência reativa Q2 (VAR)</v>
      </c>
    </row>
    <row r="20" spans="1:10" x14ac:dyDescent="0.25">
      <c r="A20" s="1">
        <v>18</v>
      </c>
      <c r="B20" s="1">
        <v>4</v>
      </c>
      <c r="C20" s="1">
        <v>801</v>
      </c>
      <c r="D20" s="2" t="str">
        <f t="shared" si="1"/>
        <v>321</v>
      </c>
      <c r="E20" s="1">
        <v>1</v>
      </c>
      <c r="F20" s="2">
        <f t="shared" si="0"/>
        <v>400802</v>
      </c>
      <c r="G20" s="2" t="str">
        <f>DEC2HEX(F20)</f>
        <v>61DA2</v>
      </c>
      <c r="H20" t="s">
        <v>18</v>
      </c>
      <c r="I20" s="2"/>
      <c r="J20" t="str">
        <f>_xlfn.CONCAT("#DTU_RAW.ENDERECO_REG[",A20,"] := 16#",G20,"; ",H20,Tabela13[[#This Row],[SB]])</f>
        <v>#DTU_RAW.ENDERECO_REG[18] := 16#61DA2; // Potência reativa Q3 (VAR)</v>
      </c>
    </row>
    <row r="21" spans="1:10" x14ac:dyDescent="0.25">
      <c r="A21" s="1">
        <v>19</v>
      </c>
      <c r="B21" s="1">
        <v>4</v>
      </c>
      <c r="C21" s="1">
        <v>786</v>
      </c>
      <c r="D21" s="2" t="str">
        <f t="shared" si="1"/>
        <v>312</v>
      </c>
      <c r="E21" s="1">
        <v>1</v>
      </c>
      <c r="F21" s="2">
        <f t="shared" si="0"/>
        <v>400787</v>
      </c>
      <c r="G21" s="2" t="str">
        <f t="shared" si="2"/>
        <v>61D93</v>
      </c>
      <c r="H21" t="s">
        <v>19</v>
      </c>
      <c r="J21" t="str">
        <f>_xlfn.CONCAT("#DTU_RAW.ENDERECO_REG[",A21,"] := 16#",G21,"; ",H21,Tabela13[[#This Row],[SB]])</f>
        <v>#DTU_RAW.ENDERECO_REG[19] := 16#61D93; // Fator de potência L1 (%)</v>
      </c>
    </row>
    <row r="22" spans="1:10" x14ac:dyDescent="0.25">
      <c r="A22" s="1">
        <v>20</v>
      </c>
      <c r="B22" s="1">
        <v>4</v>
      </c>
      <c r="C22" s="1">
        <v>787</v>
      </c>
      <c r="D22" s="2" t="str">
        <f t="shared" si="1"/>
        <v>313</v>
      </c>
      <c r="E22" s="1">
        <v>1</v>
      </c>
      <c r="F22" s="2">
        <f t="shared" si="0"/>
        <v>400788</v>
      </c>
      <c r="G22" s="2" t="str">
        <f t="shared" si="2"/>
        <v>61D94</v>
      </c>
      <c r="H22" t="s">
        <v>20</v>
      </c>
      <c r="J22" t="str">
        <f>_xlfn.CONCAT("#DTU_RAW.ENDERECO_REG[",A22,"] := 16#",G22,"; ",H22,Tabela13[[#This Row],[SB]])</f>
        <v>#DTU_RAW.ENDERECO_REG[20] := 16#61D94; // Fator de potência L2 (%)</v>
      </c>
    </row>
    <row r="23" spans="1:10" x14ac:dyDescent="0.25">
      <c r="A23" s="1">
        <v>21</v>
      </c>
      <c r="B23" s="1">
        <v>4</v>
      </c>
      <c r="C23" s="1">
        <v>788</v>
      </c>
      <c r="D23" s="2" t="str">
        <f t="shared" si="1"/>
        <v>314</v>
      </c>
      <c r="E23" s="1">
        <v>1</v>
      </c>
      <c r="F23" s="2">
        <f t="shared" si="0"/>
        <v>400789</v>
      </c>
      <c r="G23" s="2" t="str">
        <f t="shared" si="2"/>
        <v>61D95</v>
      </c>
      <c r="H23" t="s">
        <v>21</v>
      </c>
      <c r="J23" t="str">
        <f>_xlfn.CONCAT("#DTU_RAW.ENDERECO_REG[",A23,"] := 16#",G23,"; ",H23,Tabela13[[#This Row],[SB]])</f>
        <v>#DTU_RAW.ENDERECO_REG[21] := 16#61D95; // Fator de potência L3 (%)</v>
      </c>
    </row>
    <row r="24" spans="1:10" x14ac:dyDescent="0.25">
      <c r="A24" s="1">
        <v>22</v>
      </c>
      <c r="B24" s="1">
        <v>4</v>
      </c>
      <c r="C24" s="1">
        <v>790</v>
      </c>
      <c r="D24" s="2" t="str">
        <f t="shared" si="1"/>
        <v>316</v>
      </c>
      <c r="E24" s="1">
        <v>1</v>
      </c>
      <c r="F24" s="2">
        <f t="shared" si="0"/>
        <v>400791</v>
      </c>
      <c r="G24" s="2" t="str">
        <f t="shared" si="2"/>
        <v>61D97</v>
      </c>
      <c r="H24" t="s">
        <v>28</v>
      </c>
      <c r="J24" t="str">
        <f>_xlfn.CONCAT("#DTU_RAW.ENDERECO_REG[",A24,"] := 16#",G24,"; ",H24,Tabela13[[#This Row],[SB]])</f>
        <v>#DTU_RAW.ENDERECO_REG[22] := 16#61D97; // Frequência da rede</v>
      </c>
    </row>
    <row r="25" spans="1:10" x14ac:dyDescent="0.25">
      <c r="A25" s="1">
        <v>23</v>
      </c>
      <c r="B25" s="1">
        <v>4</v>
      </c>
      <c r="C25" s="1">
        <v>806</v>
      </c>
      <c r="D25" s="2" t="str">
        <f t="shared" si="1"/>
        <v>326</v>
      </c>
      <c r="E25" s="1">
        <v>4</v>
      </c>
      <c r="F25" s="2">
        <f t="shared" si="0"/>
        <v>400807</v>
      </c>
      <c r="G25" s="2" t="str">
        <f t="shared" si="2"/>
        <v>61DA7</v>
      </c>
      <c r="H25" s="3" t="s">
        <v>29</v>
      </c>
      <c r="I25" s="2"/>
      <c r="J25" t="str">
        <f>_xlfn.CONCAT("#DTU_RAW.ENDERECO_REG[",A25,"] := 16#",G25,"; ",H25,Tabela13[[#This Row],[SB]])</f>
        <v>#DTU_RAW.ENDERECO_REG[23] := 16#61DA7; // Soma da potência aparente (kVAh)</v>
      </c>
    </row>
    <row r="26" spans="1:10" x14ac:dyDescent="0.25">
      <c r="A26" s="1">
        <v>24</v>
      </c>
      <c r="B26" s="1">
        <v>4</v>
      </c>
      <c r="C26" s="1">
        <v>794</v>
      </c>
      <c r="D26" s="2" t="str">
        <f t="shared" si="1"/>
        <v>31A</v>
      </c>
      <c r="E26" s="1">
        <v>4</v>
      </c>
      <c r="F26" s="2">
        <f t="shared" si="0"/>
        <v>400795</v>
      </c>
      <c r="G26" s="2" t="str">
        <f t="shared" si="2"/>
        <v>61D9B</v>
      </c>
      <c r="H26" s="3" t="s">
        <v>69</v>
      </c>
      <c r="I26" s="2"/>
      <c r="J26" t="str">
        <f>_xlfn.CONCAT("#DTU_RAW.ENDERECO_REG[",A26,"] := 16#",G26,"; ",H26,Tabela13[[#This Row],[SB]])</f>
        <v>#DTU_RAW.ENDERECO_REG[24] := 16#61D9B; // Soma da potência ativa (kWh)</v>
      </c>
    </row>
    <row r="27" spans="1:10" x14ac:dyDescent="0.25">
      <c r="A27" s="1">
        <v>25</v>
      </c>
      <c r="B27" s="1">
        <v>4</v>
      </c>
      <c r="C27" s="1">
        <v>802</v>
      </c>
      <c r="D27" s="2" t="str">
        <f t="shared" si="1"/>
        <v>322</v>
      </c>
      <c r="E27" s="1">
        <v>4</v>
      </c>
      <c r="F27" s="2">
        <f t="shared" si="0"/>
        <v>400803</v>
      </c>
      <c r="G27" s="2" t="str">
        <f t="shared" si="2"/>
        <v>61DA3</v>
      </c>
      <c r="H27" s="3" t="s">
        <v>72</v>
      </c>
      <c r="I27" s="2"/>
      <c r="J27" t="str">
        <f>_xlfn.CONCAT("#DTU_RAW.ENDERECO_REG[",A27,"] := 16#",G27,"; ",H27,Tabela13[[#This Row],[SB]])</f>
        <v>#DTU_RAW.ENDERECO_REG[25] := 16#61DA3; // Soma da potência reativa (kVarh)</v>
      </c>
    </row>
    <row r="28" spans="1:10" x14ac:dyDescent="0.25">
      <c r="A28" s="1">
        <v>26</v>
      </c>
      <c r="B28" s="1">
        <v>4</v>
      </c>
      <c r="C28" s="1">
        <v>808</v>
      </c>
      <c r="D28" s="2" t="str">
        <f t="shared" si="1"/>
        <v>328</v>
      </c>
      <c r="E28" s="1">
        <v>2</v>
      </c>
      <c r="F28" s="2">
        <f t="shared" si="0"/>
        <v>400809</v>
      </c>
      <c r="G28" s="2" t="str">
        <f t="shared" si="2"/>
        <v>61DA9</v>
      </c>
      <c r="H28" t="s">
        <v>30</v>
      </c>
      <c r="I28" s="2"/>
      <c r="J28" t="str">
        <f>_xlfn.CONCAT("#DTU_RAW.ENDERECO_REG[",A28,"] := 16#",G28,"; ",H28,Tabela13[[#This Row],[SB]])</f>
        <v>#DTU_RAW.ENDERECO_REG[26] := 16#61DA9; // Potência aparente total (Va)</v>
      </c>
    </row>
    <row r="29" spans="1:10" x14ac:dyDescent="0.25">
      <c r="A29" s="1">
        <v>27</v>
      </c>
      <c r="B29" s="1">
        <v>4</v>
      </c>
      <c r="C29" s="1">
        <v>798</v>
      </c>
      <c r="D29" s="2" t="str">
        <f t="shared" si="1"/>
        <v>31E</v>
      </c>
      <c r="E29" s="1">
        <v>2</v>
      </c>
      <c r="F29" s="2">
        <f t="shared" si="0"/>
        <v>400799</v>
      </c>
      <c r="G29" s="2" t="str">
        <f t="shared" si="2"/>
        <v>61D9F</v>
      </c>
      <c r="H29" t="s">
        <v>31</v>
      </c>
      <c r="I29" s="2"/>
      <c r="J29" t="str">
        <f>_xlfn.CONCAT("#DTU_RAW.ENDERECO_REG[",A29,"] := 16#",G29,"; ",H29,Tabela13[[#This Row],[SB]])</f>
        <v>#DTU_RAW.ENDERECO_REG[27] := 16#61D9F; // Potência ativa total (W)</v>
      </c>
    </row>
    <row r="30" spans="1:10" x14ac:dyDescent="0.25">
      <c r="A30" s="1">
        <v>28</v>
      </c>
      <c r="B30" s="1">
        <v>4</v>
      </c>
      <c r="C30" s="1">
        <v>807</v>
      </c>
      <c r="D30" s="2" t="str">
        <f t="shared" ref="D30:D31" si="3">DEC2HEX(C30)</f>
        <v>327</v>
      </c>
      <c r="E30" s="1">
        <v>2</v>
      </c>
      <c r="F30" s="2">
        <f t="shared" si="0"/>
        <v>400808</v>
      </c>
      <c r="G30" s="2" t="str">
        <f t="shared" si="2"/>
        <v>61DA8</v>
      </c>
      <c r="H30" t="s">
        <v>32</v>
      </c>
      <c r="I30" s="2"/>
      <c r="J30" t="str">
        <f>_xlfn.CONCAT("#DTU_RAW.ENDERECO_REG[",A30,"] := 16#",G30,"; ",H30,Tabela13[[#This Row],[SB]])</f>
        <v>#DTU_RAW.ENDERECO_REG[28] := 16#61DA8; // Potência reativa total (var)</v>
      </c>
    </row>
    <row r="31" spans="1:10" x14ac:dyDescent="0.25">
      <c r="A31" s="1">
        <v>29</v>
      </c>
      <c r="B31" s="1">
        <v>4</v>
      </c>
      <c r="C31" s="1">
        <v>789</v>
      </c>
      <c r="D31" s="2" t="str">
        <f t="shared" si="3"/>
        <v>315</v>
      </c>
      <c r="E31" s="1">
        <v>1</v>
      </c>
      <c r="F31" s="2">
        <f t="shared" si="0"/>
        <v>400790</v>
      </c>
      <c r="G31" s="2" t="str">
        <f t="shared" si="2"/>
        <v>61D96</v>
      </c>
      <c r="H31" t="s">
        <v>33</v>
      </c>
      <c r="J31" t="str">
        <f>_xlfn.CONCAT("#DTU_RAW.ENDERECO_REG[",A31,"] := 16#",G31,"; ",H31,Tabela13[[#This Row],[SB]])</f>
        <v>#DTU_RAW.ENDERECO_REG[29] := 16#61D96; // Fator de potência total (%)</v>
      </c>
    </row>
    <row r="32" spans="1:10" x14ac:dyDescent="0.25">
      <c r="C32" s="1"/>
      <c r="D32" s="1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INIC</vt:lpstr>
      <vt:lpstr>MSB+LSB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Manoel Duwe Borba</dc:creator>
  <cp:lastModifiedBy>Maruhan Zandonai - TAG Engenharia</cp:lastModifiedBy>
  <dcterms:created xsi:type="dcterms:W3CDTF">2015-06-05T18:19:34Z</dcterms:created>
  <dcterms:modified xsi:type="dcterms:W3CDTF">2025-12-02T17:11:51Z</dcterms:modified>
</cp:coreProperties>
</file>